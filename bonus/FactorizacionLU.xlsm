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\Desktop\MEGA\Analisis\Parcial3\Sistema de ecuaciones\"/>
    </mc:Choice>
  </mc:AlternateContent>
  <bookViews>
    <workbookView xWindow="0" yWindow="0" windowWidth="20490" windowHeight="7530"/>
  </bookViews>
  <sheets>
    <sheet name="EJEMPLOS" sheetId="2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2" l="1" a="1"/>
  <c r="Q7" i="2" a="1"/>
  <c r="Q19" i="2" a="1"/>
  <c r="F7" i="2" a="1"/>
  <c r="A19" i="2"/>
  <c r="L7" i="2" a="1"/>
  <c r="L19" i="2" a="1"/>
  <c r="A13" i="2" a="1"/>
  <c r="Q13" i="2" a="1"/>
  <c r="A7" i="2" a="1"/>
  <c r="L13" i="2" a="1"/>
  <c r="F13" i="2" a="1"/>
  <c r="Q1" i="2" l="1"/>
  <c r="U1" i="2"/>
  <c r="Q2" i="2"/>
  <c r="U2" i="2"/>
  <c r="Q3" i="2"/>
  <c r="U3" i="2"/>
  <c r="Q4" i="2"/>
  <c r="U4" i="2"/>
  <c r="V1" i="2"/>
  <c r="R2" i="2"/>
  <c r="V2" i="2"/>
  <c r="R3" i="2"/>
  <c r="V3" i="2"/>
  <c r="R4" i="2"/>
  <c r="S3" i="2"/>
  <c r="S4" i="2"/>
  <c r="W4" i="2"/>
  <c r="X1" i="2"/>
  <c r="X2" i="2"/>
  <c r="T4" i="2"/>
  <c r="R1" i="2"/>
  <c r="V4" i="2"/>
  <c r="T1" i="2"/>
  <c r="T3" i="2"/>
  <c r="S1" i="2"/>
  <c r="W1" i="2"/>
  <c r="S2" i="2"/>
  <c r="W2" i="2"/>
  <c r="W3" i="2"/>
  <c r="T2" i="2"/>
  <c r="X3" i="2"/>
  <c r="X4" i="2"/>
  <c r="H13" i="2"/>
  <c r="F13" i="2"/>
  <c r="G14" i="2"/>
  <c r="H14" i="2"/>
  <c r="I16" i="2"/>
  <c r="G13" i="2"/>
  <c r="F16" i="2"/>
  <c r="I14" i="2"/>
  <c r="H15" i="2"/>
  <c r="I15" i="2"/>
  <c r="F15" i="2"/>
  <c r="G16" i="2"/>
  <c r="F14" i="2"/>
  <c r="H16" i="2"/>
  <c r="I13" i="2"/>
  <c r="G15" i="2"/>
  <c r="N15" i="2"/>
  <c r="L14" i="2"/>
  <c r="L13" i="2"/>
  <c r="O16" i="2"/>
  <c r="O13" i="2"/>
  <c r="L16" i="2"/>
  <c r="N13" i="2"/>
  <c r="N16" i="2"/>
  <c r="L15" i="2"/>
  <c r="M13" i="2"/>
  <c r="N14" i="2"/>
  <c r="M14" i="2"/>
  <c r="M15" i="2"/>
  <c r="O14" i="2"/>
  <c r="O15" i="2"/>
  <c r="M16" i="2"/>
  <c r="D7" i="2"/>
  <c r="A10" i="2"/>
  <c r="A9" i="2"/>
  <c r="C9" i="2"/>
  <c r="D10" i="2"/>
  <c r="C7" i="2"/>
  <c r="A8" i="2"/>
  <c r="B7" i="2"/>
  <c r="D8" i="2"/>
  <c r="B8" i="2"/>
  <c r="C8" i="2"/>
  <c r="B10" i="2"/>
  <c r="D9" i="2"/>
  <c r="B9" i="2"/>
  <c r="A7" i="2"/>
  <c r="C10" i="2"/>
  <c r="S15" i="2"/>
  <c r="T15" i="2"/>
  <c r="Q13" i="2"/>
  <c r="R16" i="2"/>
  <c r="R13" i="2"/>
  <c r="S13" i="2"/>
  <c r="T14" i="2"/>
  <c r="Q15" i="2"/>
  <c r="S14" i="2"/>
  <c r="T16" i="2"/>
  <c r="R14" i="2"/>
  <c r="R15" i="2"/>
  <c r="T13" i="2"/>
  <c r="Q16" i="2"/>
  <c r="Q14" i="2"/>
  <c r="S16" i="2"/>
  <c r="A15" i="2"/>
  <c r="C16" i="2"/>
  <c r="C13" i="2"/>
  <c r="D15" i="2"/>
  <c r="C14" i="2"/>
  <c r="D14" i="2"/>
  <c r="B15" i="2"/>
  <c r="B16" i="2"/>
  <c r="B13" i="2"/>
  <c r="C15" i="2"/>
  <c r="A14" i="2"/>
  <c r="B14" i="2"/>
  <c r="D13" i="2"/>
  <c r="A16" i="2"/>
  <c r="A13" i="2"/>
  <c r="D16" i="2"/>
  <c r="N21" i="2"/>
  <c r="O21" i="2"/>
  <c r="L20" i="2"/>
  <c r="L22" i="2"/>
  <c r="O19" i="2"/>
  <c r="M20" i="2"/>
  <c r="N20" i="2"/>
  <c r="M21" i="2"/>
  <c r="N22" i="2"/>
  <c r="O22" i="2"/>
  <c r="L19" i="2"/>
  <c r="L21" i="2"/>
  <c r="M19" i="2"/>
  <c r="M22" i="2"/>
  <c r="O20" i="2"/>
  <c r="N19" i="2"/>
  <c r="N7" i="2"/>
  <c r="O7" i="2"/>
  <c r="L7" i="2"/>
  <c r="M8" i="2"/>
  <c r="L10" i="2"/>
  <c r="L9" i="2"/>
  <c r="N10" i="2"/>
  <c r="M7" i="2"/>
  <c r="N8" i="2"/>
  <c r="O10" i="2"/>
  <c r="L8" i="2"/>
  <c r="M9" i="2"/>
  <c r="N9" i="2"/>
  <c r="O8" i="2"/>
  <c r="O9" i="2"/>
  <c r="M10" i="2"/>
  <c r="I7" i="2"/>
  <c r="F8" i="2"/>
  <c r="G7" i="2"/>
  <c r="H8" i="2"/>
  <c r="I9" i="2"/>
  <c r="G8" i="2"/>
  <c r="F9" i="2"/>
  <c r="H9" i="2"/>
  <c r="H7" i="2"/>
  <c r="F7" i="2"/>
  <c r="F10" i="2"/>
  <c r="G9" i="2"/>
  <c r="G10" i="2"/>
  <c r="I8" i="2"/>
  <c r="H10" i="2"/>
  <c r="I10" i="2"/>
  <c r="R21" i="2"/>
  <c r="T19" i="2"/>
  <c r="S19" i="2"/>
  <c r="R19" i="2"/>
  <c r="S21" i="2"/>
  <c r="Q20" i="2"/>
  <c r="T21" i="2"/>
  <c r="T20" i="2"/>
  <c r="T22" i="2"/>
  <c r="Q21" i="2"/>
  <c r="R20" i="2"/>
  <c r="S22" i="2"/>
  <c r="R22" i="2"/>
  <c r="S20" i="2"/>
  <c r="Q19" i="2"/>
  <c r="Q22" i="2"/>
  <c r="S9" i="2"/>
  <c r="T9" i="2"/>
  <c r="R8" i="2"/>
  <c r="R10" i="2"/>
  <c r="R9" i="2"/>
  <c r="T7" i="2"/>
  <c r="S8" i="2"/>
  <c r="T10" i="2"/>
  <c r="Q7" i="2"/>
  <c r="T8" i="2"/>
  <c r="Q9" i="2"/>
  <c r="Q10" i="2"/>
  <c r="Q8" i="2"/>
  <c r="S7" i="2"/>
  <c r="R7" i="2"/>
  <c r="S10" i="2"/>
</calcChain>
</file>

<file path=xl/sharedStrings.xml><?xml version="1.0" encoding="utf-8"?>
<sst xmlns="http://schemas.openxmlformats.org/spreadsheetml/2006/main" count="6" uniqueCount="3">
  <si>
    <t>CROUT</t>
  </si>
  <si>
    <t>DOOLITTLE</t>
  </si>
  <si>
    <t>CHOLESKY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</si>
</sst>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1"/>
    <xf numFmtId="0" fontId="0" fillId="0" borderId="1" xfId="0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2"/>
  <sheetViews>
    <sheetView tabSelected="1" topLeftCell="J1" workbookViewId="0">
      <selection activeCell="Q1" sqref="Q1:X4"/>
    </sheetView>
  </sheetViews>
  <sheetFormatPr baseColWidth="10" defaultColWidth="9.140625" defaultRowHeight="15" x14ac:dyDescent="0.25"/>
  <cols>
    <col min="1" max="8" width="9.42578125" bestFit="1" customWidth="1"/>
    <col min="17" max="20" width="9.5703125" bestFit="1" customWidth="1"/>
    <col min="21" max="24" width="9.42578125" bestFit="1" customWidth="1"/>
  </cols>
  <sheetData>
    <row r="1" spans="1:24" x14ac:dyDescent="0.25">
      <c r="A1" s="3">
        <v>36</v>
      </c>
      <c r="B1" s="3">
        <v>3</v>
      </c>
      <c r="C1" s="3">
        <v>-4</v>
      </c>
      <c r="D1" s="3">
        <v>5</v>
      </c>
      <c r="L1" s="3">
        <v>25</v>
      </c>
      <c r="M1" s="3">
        <v>-3</v>
      </c>
      <c r="N1" s="3">
        <v>-4</v>
      </c>
      <c r="O1" s="3">
        <v>7</v>
      </c>
      <c r="Q1">
        <f t="array" ref="Q1:X4">CHOLESKY(L1:O4)</f>
        <v>5</v>
      </c>
      <c r="R1">
        <v>0</v>
      </c>
      <c r="S1">
        <v>0</v>
      </c>
      <c r="T1">
        <v>0</v>
      </c>
      <c r="U1">
        <v>5</v>
      </c>
      <c r="V1">
        <v>-0.6</v>
      </c>
      <c r="W1">
        <v>-0.8</v>
      </c>
      <c r="X1">
        <v>1.4</v>
      </c>
    </row>
    <row r="2" spans="1:24" x14ac:dyDescent="0.25">
      <c r="A2" s="3">
        <v>5</v>
      </c>
      <c r="B2" s="3">
        <v>-45</v>
      </c>
      <c r="C2" s="3">
        <v>10</v>
      </c>
      <c r="D2" s="3">
        <v>-2</v>
      </c>
      <c r="L2" s="3">
        <v>-2</v>
      </c>
      <c r="M2" s="3">
        <v>36</v>
      </c>
      <c r="N2" s="3">
        <v>-3</v>
      </c>
      <c r="O2" s="3">
        <v>5</v>
      </c>
      <c r="Q2">
        <v>-0.4</v>
      </c>
      <c r="R2">
        <v>5.9799665550904209</v>
      </c>
      <c r="S2">
        <v>0</v>
      </c>
      <c r="T2">
        <v>0</v>
      </c>
      <c r="U2">
        <v>0</v>
      </c>
      <c r="V2">
        <v>5.9799665550904209</v>
      </c>
      <c r="W2">
        <v>-0.55518705153524051</v>
      </c>
      <c r="X2">
        <v>0.92977108630600513</v>
      </c>
    </row>
    <row r="3" spans="1:24" x14ac:dyDescent="0.25">
      <c r="A3" s="3">
        <v>6</v>
      </c>
      <c r="B3" s="3">
        <v>8</v>
      </c>
      <c r="C3" s="3">
        <v>57</v>
      </c>
      <c r="D3" s="3">
        <v>5</v>
      </c>
      <c r="L3" s="3">
        <v>-7</v>
      </c>
      <c r="M3" s="3">
        <v>-8</v>
      </c>
      <c r="N3" s="3">
        <v>54</v>
      </c>
      <c r="O3" s="3">
        <v>3</v>
      </c>
      <c r="Q3">
        <v>-1.4</v>
      </c>
      <c r="R3">
        <v>-1.4782691372203391</v>
      </c>
      <c r="S3">
        <v>7.2152119938593007</v>
      </c>
      <c r="T3">
        <v>0</v>
      </c>
      <c r="U3">
        <v>0</v>
      </c>
      <c r="V3">
        <v>0</v>
      </c>
      <c r="W3">
        <v>7.2152119938593007</v>
      </c>
      <c r="X3">
        <v>0.87793011583819025</v>
      </c>
    </row>
    <row r="4" spans="1:24" x14ac:dyDescent="0.25">
      <c r="A4" s="3">
        <v>2</v>
      </c>
      <c r="B4" s="3">
        <v>3</v>
      </c>
      <c r="C4" s="3">
        <v>-8</v>
      </c>
      <c r="D4" s="3">
        <v>-42</v>
      </c>
      <c r="L4" s="3">
        <v>-2</v>
      </c>
      <c r="M4" s="3">
        <v>-3</v>
      </c>
      <c r="N4" s="3">
        <v>-5</v>
      </c>
      <c r="O4" s="3">
        <v>75</v>
      </c>
      <c r="Q4">
        <v>-0.4</v>
      </c>
      <c r="R4">
        <v>-0.54180905029342752</v>
      </c>
      <c r="S4">
        <v>-0.77902151370067207</v>
      </c>
      <c r="T4">
        <v>8.7605755996410082</v>
      </c>
      <c r="U4">
        <v>0</v>
      </c>
      <c r="V4">
        <v>0</v>
      </c>
      <c r="W4">
        <v>0</v>
      </c>
      <c r="X4">
        <v>8.7605755996410082</v>
      </c>
    </row>
    <row r="6" spans="1:24" x14ac:dyDescent="0.25">
      <c r="A6" s="2" t="s">
        <v>0</v>
      </c>
      <c r="B6" s="2"/>
      <c r="C6" s="2"/>
      <c r="D6" s="2"/>
      <c r="E6" s="2"/>
      <c r="F6" s="2"/>
      <c r="G6" s="2"/>
      <c r="H6" s="2"/>
      <c r="I6" s="2"/>
      <c r="L6" s="2" t="s">
        <v>0</v>
      </c>
      <c r="M6" s="2"/>
      <c r="N6" s="2"/>
      <c r="O6" s="2"/>
      <c r="P6" s="2"/>
      <c r="Q6" s="2"/>
      <c r="R6" s="2"/>
      <c r="S6" s="2"/>
      <c r="T6" s="2"/>
    </row>
    <row r="7" spans="1:24" x14ac:dyDescent="0.25">
      <c r="A7" s="3">
        <f t="array" ref="A7:D10">CROUT(A1:D4,TRUE)</f>
        <v>36</v>
      </c>
      <c r="B7" s="3">
        <v>0</v>
      </c>
      <c r="C7" s="3">
        <v>0</v>
      </c>
      <c r="D7" s="3">
        <v>0</v>
      </c>
      <c r="F7" s="3">
        <f t="array" ref="F7:I10">CROUT(A1:D4,FALSE)</f>
        <v>1</v>
      </c>
      <c r="G7" s="3">
        <v>8.3333333333333329E-2</v>
      </c>
      <c r="H7" s="3">
        <v>-0.1111111111111111</v>
      </c>
      <c r="I7" s="3">
        <v>0.1388888888888889</v>
      </c>
      <c r="L7" s="3">
        <f t="array" ref="L7:O10">CROUT(L1:O4,TRUE)</f>
        <v>25</v>
      </c>
      <c r="M7" s="3">
        <v>0</v>
      </c>
      <c r="N7" s="3">
        <v>0</v>
      </c>
      <c r="O7" s="3">
        <v>0</v>
      </c>
      <c r="Q7" s="3">
        <f t="array" ref="Q7:T10">CROUT(L1:O4,FALSE)</f>
        <v>1</v>
      </c>
      <c r="R7" s="3">
        <v>-0.12</v>
      </c>
      <c r="S7" s="3">
        <v>-0.16</v>
      </c>
      <c r="T7" s="3">
        <v>0.28000000000000003</v>
      </c>
    </row>
    <row r="8" spans="1:24" x14ac:dyDescent="0.25">
      <c r="A8" s="3">
        <v>5</v>
      </c>
      <c r="B8" s="3">
        <v>-45.416666666666664</v>
      </c>
      <c r="C8" s="3">
        <v>0</v>
      </c>
      <c r="D8" s="3">
        <v>0</v>
      </c>
      <c r="F8" s="3">
        <v>0</v>
      </c>
      <c r="G8" s="3">
        <v>1</v>
      </c>
      <c r="H8" s="3">
        <v>-0.23241590214067279</v>
      </c>
      <c r="I8" s="3">
        <v>5.9327217125382269E-2</v>
      </c>
      <c r="L8" s="3">
        <v>-2</v>
      </c>
      <c r="M8" s="3">
        <v>35.76</v>
      </c>
      <c r="N8" s="3">
        <v>0</v>
      </c>
      <c r="O8" s="3">
        <v>0</v>
      </c>
      <c r="Q8" s="3">
        <v>0</v>
      </c>
      <c r="R8" s="3">
        <v>1</v>
      </c>
      <c r="S8" s="3">
        <v>-9.2841163310961969E-2</v>
      </c>
      <c r="T8" s="3">
        <v>0.15548098434004476</v>
      </c>
    </row>
    <row r="9" spans="1:24" x14ac:dyDescent="0.25">
      <c r="A9" s="3">
        <v>6</v>
      </c>
      <c r="B9" s="3">
        <v>7.5</v>
      </c>
      <c r="C9" s="3">
        <v>59.409785932721711</v>
      </c>
      <c r="D9" s="3">
        <v>0</v>
      </c>
      <c r="F9" s="3">
        <v>0</v>
      </c>
      <c r="G9" s="3">
        <v>0</v>
      </c>
      <c r="H9" s="3">
        <v>1</v>
      </c>
      <c r="I9" s="3">
        <v>6.2644772738971538E-2</v>
      </c>
      <c r="L9" s="3">
        <v>-7</v>
      </c>
      <c r="M9" s="3">
        <v>-8.84</v>
      </c>
      <c r="N9" s="3">
        <v>52.059284116331099</v>
      </c>
      <c r="O9" s="3">
        <v>0</v>
      </c>
      <c r="Q9" s="3">
        <v>0</v>
      </c>
      <c r="R9" s="3">
        <v>0</v>
      </c>
      <c r="S9" s="3">
        <v>1</v>
      </c>
      <c r="T9" s="3">
        <v>0.12167766055735803</v>
      </c>
    </row>
    <row r="10" spans="1:24" x14ac:dyDescent="0.25">
      <c r="A10" s="3">
        <v>2</v>
      </c>
      <c r="B10" s="3">
        <v>2.8333333333333335</v>
      </c>
      <c r="C10" s="3">
        <v>-7.1192660550458715</v>
      </c>
      <c r="D10" s="3">
        <v>-41.999886755546406</v>
      </c>
      <c r="F10" s="3">
        <v>0</v>
      </c>
      <c r="G10" s="3">
        <v>0</v>
      </c>
      <c r="H10" s="3">
        <v>0</v>
      </c>
      <c r="I10" s="3">
        <v>1</v>
      </c>
      <c r="L10" s="3">
        <v>-2</v>
      </c>
      <c r="M10" s="3">
        <v>-3.24</v>
      </c>
      <c r="N10" s="3">
        <v>-5.6208053691275168</v>
      </c>
      <c r="O10" s="3">
        <v>76.747684837025417</v>
      </c>
      <c r="Q10" s="3">
        <v>0</v>
      </c>
      <c r="R10" s="3">
        <v>0</v>
      </c>
      <c r="S10" s="3">
        <v>0</v>
      </c>
      <c r="T10" s="3">
        <v>1</v>
      </c>
    </row>
    <row r="12" spans="1:24" x14ac:dyDescent="0.25">
      <c r="A12" s="2" t="s">
        <v>1</v>
      </c>
      <c r="B12" s="2"/>
      <c r="C12" s="2"/>
      <c r="D12" s="2"/>
      <c r="E12" s="2"/>
      <c r="F12" s="2"/>
      <c r="G12" s="2"/>
      <c r="H12" s="2"/>
      <c r="I12" s="2"/>
      <c r="L12" s="2" t="s">
        <v>1</v>
      </c>
      <c r="M12" s="2"/>
      <c r="N12" s="2"/>
      <c r="O12" s="2"/>
      <c r="P12" s="2"/>
      <c r="Q12" s="2"/>
      <c r="R12" s="2"/>
      <c r="S12" s="2"/>
      <c r="T12" s="2"/>
    </row>
    <row r="13" spans="1:24" x14ac:dyDescent="0.25">
      <c r="A13" s="3">
        <f t="array" ref="A13:D16">DOOLITTLE(A1:D4,TRUE)</f>
        <v>1</v>
      </c>
      <c r="B13" s="3">
        <v>0</v>
      </c>
      <c r="C13" s="3">
        <v>0</v>
      </c>
      <c r="D13" s="3">
        <v>0</v>
      </c>
      <c r="E13" s="1"/>
      <c r="F13" s="3">
        <f t="array" ref="F13:I16">DOOLITTLE(A1:D4,FALSE)</f>
        <v>36</v>
      </c>
      <c r="G13" s="3">
        <v>3</v>
      </c>
      <c r="H13" s="3">
        <v>-4</v>
      </c>
      <c r="I13" s="3">
        <v>5</v>
      </c>
      <c r="L13" s="3">
        <f t="array" ref="L13:O16">DOOLITTLE(L1:O4,TRUE)</f>
        <v>1</v>
      </c>
      <c r="M13" s="3">
        <v>0</v>
      </c>
      <c r="N13" s="3">
        <v>0</v>
      </c>
      <c r="O13" s="3">
        <v>0</v>
      </c>
      <c r="Q13" s="3">
        <f t="array" ref="Q13:T16">DOOLITTLE(L1:O4,FALSE)</f>
        <v>25</v>
      </c>
      <c r="R13" s="3">
        <v>-3</v>
      </c>
      <c r="S13" s="3">
        <v>-4</v>
      </c>
      <c r="T13" s="3">
        <v>7</v>
      </c>
    </row>
    <row r="14" spans="1:24" x14ac:dyDescent="0.25">
      <c r="A14" s="3">
        <v>0.1388888888888889</v>
      </c>
      <c r="B14" s="3">
        <v>1</v>
      </c>
      <c r="C14" s="3">
        <v>0</v>
      </c>
      <c r="D14" s="3">
        <v>0</v>
      </c>
      <c r="E14" s="1"/>
      <c r="F14" s="3">
        <v>0</v>
      </c>
      <c r="G14" s="3">
        <v>-45.416666666666664</v>
      </c>
      <c r="H14" s="3">
        <v>10.555555555555555</v>
      </c>
      <c r="I14" s="3">
        <v>-2.6944444444444446</v>
      </c>
      <c r="L14" s="3">
        <v>-0.08</v>
      </c>
      <c r="M14" s="3">
        <v>1</v>
      </c>
      <c r="N14" s="3">
        <v>0</v>
      </c>
      <c r="O14" s="3">
        <v>0</v>
      </c>
      <c r="Q14" s="3">
        <v>0</v>
      </c>
      <c r="R14" s="3">
        <v>35.76</v>
      </c>
      <c r="S14" s="3">
        <v>-3.32</v>
      </c>
      <c r="T14" s="3">
        <v>5.5600000000000005</v>
      </c>
    </row>
    <row r="15" spans="1:24" x14ac:dyDescent="0.25">
      <c r="A15" s="3">
        <v>0.16666666666666666</v>
      </c>
      <c r="B15" s="3">
        <v>-0.16513761467889909</v>
      </c>
      <c r="C15" s="3">
        <v>1</v>
      </c>
      <c r="D15" s="3">
        <v>0</v>
      </c>
      <c r="E15" s="1"/>
      <c r="F15" s="3">
        <v>0</v>
      </c>
      <c r="G15" s="3">
        <v>0</v>
      </c>
      <c r="H15" s="3">
        <v>59.409785932721711</v>
      </c>
      <c r="I15" s="3">
        <v>3.7217125382262997</v>
      </c>
      <c r="L15" s="3">
        <v>-0.28000000000000003</v>
      </c>
      <c r="M15" s="3">
        <v>-0.24720357941834453</v>
      </c>
      <c r="N15" s="3">
        <v>1</v>
      </c>
      <c r="O15" s="3">
        <v>0</v>
      </c>
      <c r="Q15" s="3">
        <v>0</v>
      </c>
      <c r="R15" s="3">
        <v>0</v>
      </c>
      <c r="S15" s="3">
        <v>52.059284116331099</v>
      </c>
      <c r="T15" s="3">
        <v>6.3344519015659957</v>
      </c>
    </row>
    <row r="16" spans="1:24" x14ac:dyDescent="0.25">
      <c r="A16" s="3">
        <v>5.5555555555555552E-2</v>
      </c>
      <c r="B16" s="3">
        <v>-6.2385321100917435E-2</v>
      </c>
      <c r="C16" s="3">
        <v>-0.11983322180470479</v>
      </c>
      <c r="D16" s="3">
        <v>1</v>
      </c>
      <c r="E16" s="1"/>
      <c r="F16" s="3">
        <v>0</v>
      </c>
      <c r="G16" s="3">
        <v>0</v>
      </c>
      <c r="H16" s="3">
        <v>0</v>
      </c>
      <c r="I16" s="3">
        <v>-41.999886755546406</v>
      </c>
      <c r="L16" s="3">
        <v>-0.08</v>
      </c>
      <c r="M16" s="3">
        <v>-9.0604026845637592E-2</v>
      </c>
      <c r="N16" s="3">
        <v>-0.107969317376077</v>
      </c>
      <c r="O16" s="3">
        <v>1</v>
      </c>
      <c r="Q16" s="3">
        <v>0</v>
      </c>
      <c r="R16" s="3">
        <v>0</v>
      </c>
      <c r="S16" s="3">
        <v>0</v>
      </c>
      <c r="T16" s="3">
        <v>76.747684837025417</v>
      </c>
    </row>
    <row r="18" spans="1:20" x14ac:dyDescent="0.25">
      <c r="A18" s="2" t="s">
        <v>2</v>
      </c>
      <c r="B18" s="2"/>
      <c r="C18" s="2"/>
      <c r="D18" s="2"/>
      <c r="E18" s="2"/>
      <c r="F18" s="2"/>
      <c r="G18" s="2"/>
      <c r="H18" s="2"/>
      <c r="I18" s="2"/>
      <c r="L18" s="2" t="s">
        <v>2</v>
      </c>
      <c r="M18" s="2"/>
      <c r="N18" s="2"/>
      <c r="O18" s="2"/>
      <c r="P18" s="2"/>
      <c r="Q18" s="2"/>
      <c r="R18" s="2"/>
      <c r="S18" s="2"/>
      <c r="T18" s="2"/>
    </row>
    <row r="19" spans="1:20" x14ac:dyDescent="0.25">
      <c r="A19" t="str">
        <f>CHOLESKY(A1:D4,TRUE)</f>
        <v>Complex</v>
      </c>
      <c r="L19" s="3">
        <f t="array" ref="L19:O22">CHOLESKY(L1:O4,TRUE)</f>
        <v>5</v>
      </c>
      <c r="M19" s="3">
        <v>0</v>
      </c>
      <c r="N19" s="3">
        <v>0</v>
      </c>
      <c r="O19" s="3">
        <v>0</v>
      </c>
      <c r="Q19" s="3">
        <f t="array" ref="Q19:T22">CHOLESKY(L1:O4,FALSE)</f>
        <v>5</v>
      </c>
      <c r="R19" s="3">
        <v>-0.6</v>
      </c>
      <c r="S19" s="3">
        <v>-0.8</v>
      </c>
      <c r="T19" s="3">
        <v>1.4</v>
      </c>
    </row>
    <row r="20" spans="1:20" x14ac:dyDescent="0.25">
      <c r="L20" s="3">
        <v>-0.4</v>
      </c>
      <c r="M20" s="3">
        <v>5.9799665550904209</v>
      </c>
      <c r="N20" s="3">
        <v>0</v>
      </c>
      <c r="O20" s="3">
        <v>0</v>
      </c>
      <c r="Q20" s="3">
        <v>0</v>
      </c>
      <c r="R20" s="3">
        <v>5.9799665550904209</v>
      </c>
      <c r="S20" s="3">
        <v>-0.55518705153524051</v>
      </c>
      <c r="T20" s="3">
        <v>0.92977108630600513</v>
      </c>
    </row>
    <row r="21" spans="1:20" x14ac:dyDescent="0.25">
      <c r="L21" s="3">
        <v>-1.4</v>
      </c>
      <c r="M21" s="3">
        <v>-1.4782691372203391</v>
      </c>
      <c r="N21" s="3">
        <v>7.2152119938593007</v>
      </c>
      <c r="O21" s="3">
        <v>0</v>
      </c>
      <c r="Q21" s="3">
        <v>0</v>
      </c>
      <c r="R21" s="3">
        <v>0</v>
      </c>
      <c r="S21" s="3">
        <v>7.2152119938593007</v>
      </c>
      <c r="T21" s="3">
        <v>0.87793011583819025</v>
      </c>
    </row>
    <row r="22" spans="1:20" x14ac:dyDescent="0.25">
      <c r="L22" s="3">
        <v>-0.4</v>
      </c>
      <c r="M22" s="3">
        <v>-0.54180905029342752</v>
      </c>
      <c r="N22" s="3">
        <v>-0.77902151370067207</v>
      </c>
      <c r="O22" s="3">
        <v>8.7605755996410082</v>
      </c>
      <c r="Q22" s="3">
        <v>0</v>
      </c>
      <c r="R22" s="3">
        <v>0</v>
      </c>
      <c r="S22" s="3">
        <v>0</v>
      </c>
      <c r="T22" s="3">
        <v>8.7605755996410082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EJEMPLOS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</dc:creator>
  <cp:lastModifiedBy>Juan</cp:lastModifiedBy>
  <dcterms:created xsi:type="dcterms:W3CDTF">2017-05-02T18:22:52Z</dcterms:created>
  <dcterms:modified xsi:type="dcterms:W3CDTF">2017-05-29T00:27:58Z</dcterms:modified>
</cp:coreProperties>
</file>